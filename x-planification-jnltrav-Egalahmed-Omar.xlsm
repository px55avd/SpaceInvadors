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Cheneau\"/>
    </mc:Choice>
  </mc:AlternateContent>
  <xr:revisionPtr revIDLastSave="0" documentId="13_ncr:1_{BF5980AD-B7F5-44A8-8266-F8DE03D48295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<sst xmlns="http://schemas.openxmlformats.org/spreadsheetml/2006/main" count="363" uniqueCount="49">
  <si>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</si>
  <si>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</si>
  <si>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</si>
  <si>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</si>
  <si>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</si>
  <si>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</si>
  <si>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</si>
  <si>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</si>
  <si>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</si>
  <si>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</si>
  <si>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</si>
  <si>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</si>
  <si>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</si>
  <si>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</si>
  <si>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</si>
  <si>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</si>
  <si>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</si>
  <si>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</si>
  <si>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</si>
  <si>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</si>
  <si>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</si>
  <si>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</si>
  <si>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</si>
  <si>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</si>
  <si>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</si>
  <si>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</si>
  <si>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</si>
  <si>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</si>
  <si>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</si>
  <si>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</si>
  <si>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</si>
  <si>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</si>
  <si>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</si>
  <si>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</si>
  <si>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</si>
  <si>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</si>
  <si>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</si>
  <si>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</si>
  <si>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</si>
  <si>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</si>
  <si>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</si>
  <si>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</si>
  <si>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</si>
  <si>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</si>
  <si>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</si>
  <si>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</si>
  <si>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des premières semaines sur excel.</t>
  </si>
  <si>
    <t>La planification de tout le projet semaines sur excel.</t>
  </si>
  <si>
    <t>Une reflexion sur papier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</si>
</sst>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workbookViewId="0">
      <selection activeCell="A17" sqref="A17:C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47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9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90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/>
      <c r="C31" s="89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/>
      <c r="C32" s="90" t="s">
        <v>44</v>
      </c>
      <c r="D32" s="10"/>
    </row>
    <row r="33" spans="1:4" x14ac:dyDescent="0.25">
      <c r="A33" s="1" t="s">
        <v>31</v>
      </c>
      <c r="B33" s="2"/>
      <c r="C33" s="90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9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6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5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6" t="s">
        <v>34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5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9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5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5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6" t="s">
        <v>34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5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6" t="s">
        <v>34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5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6" t="s">
        <v>34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5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6" t="s">
        <v>34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5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6" t="s">
        <v>34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5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6" t="s">
        <v>34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4981C-CAC9-40B8-ABA4-52DB6B84A431}">
  <sheetPr codeName="Feuil9"/>
  <dimension ref="A1:H362"/>
  <sheetViews>
    <sheetView tabSelected="1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45309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46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45316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3</v>
      </c>
      <c r="C22" s="95" t="s">
        <v>48</v>
      </c>
      <c r="D22" s="9"/>
    </row>
    <row r="23" spans="1:8" x14ac:dyDescent="0.25">
      <c r="A23" s="1" t="s">
        <v>33</v>
      </c>
      <c r="B23" s="2">
        <v>3</v>
      </c>
      <c r="C23" s="10"/>
      <c r="D23" s="10"/>
    </row>
    <row r="24" spans="1:8" x14ac:dyDescent="0.25">
      <c r="A24" s="1" t="s">
        <v>28</v>
      </c>
      <c r="B24" s="2">
        <v>6</v>
      </c>
      <c r="C24" s="90" t="s">
        <v>40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45323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45330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45337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45344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45351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45358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45365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45372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8" t="s">
        <v>34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14</v>
      </c>
      <c r="B191" s="43">
        <v>11</v>
      </c>
      <c r="C191" s="44" t="s">
        <v>23</v>
      </c>
      <c r="D191" s="53">
        <f>$D$172+7</f>
        <v>45379</v>
      </c>
    </row>
    <row r="192" spans="1:4" ht="27.75" thickBot="1" x14ac:dyDescent="0.3">
      <c r="A192" s="45" t="s">
        <v>3</v>
      </c>
      <c r="B192" s="46" t="s">
        <v>15</v>
      </c>
      <c r="C192" s="45" t="s">
        <v>7</v>
      </c>
      <c r="D192" s="45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22</v>
      </c>
      <c r="B208" s="47">
        <f>SUM(B193:B207)</f>
        <v>0</v>
      </c>
      <c r="C208" s="88" t="s">
        <v>34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14</v>
      </c>
      <c r="B210" s="43">
        <v>12</v>
      </c>
      <c r="C210" s="44" t="s">
        <v>23</v>
      </c>
      <c r="D210" s="53">
        <f>$D$191+7</f>
        <v>45386</v>
      </c>
    </row>
    <row r="211" spans="1:4" ht="27.75" thickBot="1" x14ac:dyDescent="0.3">
      <c r="A211" s="45" t="s">
        <v>3</v>
      </c>
      <c r="B211" s="46" t="s">
        <v>15</v>
      </c>
      <c r="C211" s="45" t="s">
        <v>7</v>
      </c>
      <c r="D211" s="45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22</v>
      </c>
      <c r="B227" s="47">
        <f>SUM(B212:B226)</f>
        <v>0</v>
      </c>
      <c r="C227" s="88" t="s">
        <v>34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14</v>
      </c>
      <c r="B229" s="43">
        <v>13</v>
      </c>
      <c r="C229" s="44" t="s">
        <v>23</v>
      </c>
      <c r="D229" s="53">
        <f>$D$210+7</f>
        <v>45393</v>
      </c>
    </row>
    <row r="230" spans="1:4" ht="27.75" thickBot="1" x14ac:dyDescent="0.3">
      <c r="A230" s="45" t="s">
        <v>3</v>
      </c>
      <c r="B230" s="46" t="s">
        <v>15</v>
      </c>
      <c r="C230" s="45" t="s">
        <v>7</v>
      </c>
      <c r="D230" s="45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22</v>
      </c>
      <c r="B246" s="47">
        <f>SUM(B231:B245)</f>
        <v>0</v>
      </c>
      <c r="C246" s="88" t="s">
        <v>34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14</v>
      </c>
      <c r="B248" s="43">
        <v>14</v>
      </c>
      <c r="C248" s="44" t="s">
        <v>23</v>
      </c>
      <c r="D248" s="53">
        <f>$D$229+7</f>
        <v>45400</v>
      </c>
    </row>
    <row r="249" spans="1:4" ht="27.75" thickBot="1" x14ac:dyDescent="0.3">
      <c r="A249" s="45" t="s">
        <v>3</v>
      </c>
      <c r="B249" s="46" t="s">
        <v>15</v>
      </c>
      <c r="C249" s="45" t="s">
        <v>7</v>
      </c>
      <c r="D249" s="45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22</v>
      </c>
      <c r="B265" s="47">
        <f>SUM(B250:B264)</f>
        <v>0</v>
      </c>
      <c r="C265" s="88" t="s">
        <v>34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14</v>
      </c>
      <c r="B267" s="43">
        <v>15</v>
      </c>
      <c r="C267" s="44" t="s">
        <v>23</v>
      </c>
      <c r="D267" s="53">
        <f>$D$248+7</f>
        <v>45407</v>
      </c>
    </row>
    <row r="268" spans="1:4" ht="27.75" thickBot="1" x14ac:dyDescent="0.3">
      <c r="A268" s="45" t="s">
        <v>3</v>
      </c>
      <c r="B268" s="46" t="s">
        <v>15</v>
      </c>
      <c r="C268" s="45" t="s">
        <v>7</v>
      </c>
      <c r="D268" s="45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22</v>
      </c>
      <c r="B284" s="47">
        <f>SUM(B269:B283)</f>
        <v>0</v>
      </c>
      <c r="C284" s="88" t="s">
        <v>34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14</v>
      </c>
      <c r="B286" s="43">
        <v>16</v>
      </c>
      <c r="C286" s="44" t="s">
        <v>23</v>
      </c>
      <c r="D286" s="53">
        <f>$D$267+7</f>
        <v>45414</v>
      </c>
    </row>
    <row r="287" spans="1:4" ht="27.75" thickBot="1" x14ac:dyDescent="0.3">
      <c r="A287" s="45" t="s">
        <v>3</v>
      </c>
      <c r="B287" s="46" t="s">
        <v>15</v>
      </c>
      <c r="C287" s="45" t="s">
        <v>7</v>
      </c>
      <c r="D287" s="45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22</v>
      </c>
      <c r="B303" s="47">
        <f>SUM(B288:B302)</f>
        <v>0</v>
      </c>
      <c r="C303" s="88" t="s">
        <v>34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14</v>
      </c>
      <c r="B305" s="43">
        <v>17</v>
      </c>
      <c r="C305" s="44" t="s">
        <v>23</v>
      </c>
      <c r="D305" s="53">
        <f>$D$286+7</f>
        <v>45421</v>
      </c>
    </row>
    <row r="306" spans="1:4" ht="27.75" thickBot="1" x14ac:dyDescent="0.3">
      <c r="A306" s="45" t="s">
        <v>3</v>
      </c>
      <c r="B306" s="46" t="s">
        <v>15</v>
      </c>
      <c r="C306" s="45" t="s">
        <v>7</v>
      </c>
      <c r="D306" s="45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22</v>
      </c>
      <c r="B322" s="47">
        <f>SUM(B307:B321)</f>
        <v>0</v>
      </c>
      <c r="C322" s="88" t="s">
        <v>34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14</v>
      </c>
      <c r="B324" s="43">
        <v>18</v>
      </c>
      <c r="C324" s="44" t="s">
        <v>23</v>
      </c>
      <c r="D324" s="53">
        <f>$D$305+7</f>
        <v>45428</v>
      </c>
    </row>
    <row r="325" spans="1:4" ht="27.75" thickBot="1" x14ac:dyDescent="0.3">
      <c r="A325" s="45" t="s">
        <v>3</v>
      </c>
      <c r="B325" s="46" t="s">
        <v>15</v>
      </c>
      <c r="C325" s="45" t="s">
        <v>7</v>
      </c>
      <c r="D325" s="45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22</v>
      </c>
      <c r="B341" s="47">
        <f>SUM(B326:B340)</f>
        <v>0</v>
      </c>
      <c r="C341" s="88" t="s">
        <v>34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14</v>
      </c>
      <c r="B343" s="43">
        <v>19</v>
      </c>
      <c r="C343" s="44" t="s">
        <v>23</v>
      </c>
      <c r="D343" s="53">
        <f>$D$324+7</f>
        <v>45435</v>
      </c>
    </row>
    <row r="344" spans="1:4" ht="27.75" thickBot="1" x14ac:dyDescent="0.3">
      <c r="A344" s="45" t="s">
        <v>3</v>
      </c>
      <c r="B344" s="46" t="s">
        <v>15</v>
      </c>
      <c r="C344" s="45" t="s">
        <v>7</v>
      </c>
      <c r="D344" s="45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22</v>
      </c>
      <c r="B360" s="47">
        <f>SUM(B345:B359)</f>
        <v>0</v>
      </c>
      <c r="C360" s="88" t="s">
        <v>34</v>
      </c>
      <c r="D360" s="48"/>
    </row>
    <row r="361" spans="1:4" ht="14.25" x14ac:dyDescent="0.3">
      <c r="A361" s="49"/>
      <c r="B361" s="49"/>
      <c r="C361" s="49"/>
      <c r="D361" s="49"/>
    </row>
    <row r="362" spans="1:4" x14ac:dyDescent="0.25">
      <c r="A362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00B1C28-727E-4474-8A56-CAD1D5CB6C3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45:B359 B3:B17 B41:B55 B60:B74 B79:B93 B98:B112 B117:B131 B136:B150 B155:B169 B174:B188 B193:B207 B212:B226 B231:B245 B250:B264 B269:B283 B288:B302 B307:B321 B326:B340 B22:B36" xr:uid="{1763D475-21AA-4B36-AFC3-1B3431F072F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633F51AA-4A66-4F27-B789-F049626251AA}">
      <formula1>0</formula1>
      <formula2>NbPerWeek * NbQuartPer</formula2>
    </dataValidation>
    <dataValidation type="list" allowBlank="1" showInputMessage="1" showErrorMessage="1" sqref="A345:A359 A3:A17 A41:A55 A60:A74 A79:A93 A98:A112 A117:A131 A136:A150 A155:A169 A174:A188 A193:A207 A212:A226 A231:A245 A250:A264 A269:A283 A288:A302 A307:A321 A326:A340 A22:A36" xr:uid="{50D63FBE-B158-455C-B3F9-09D3C65C23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2024-02-01T14:42:16Z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