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_progCheneau\"/>
    </mc:Choice>
  </mc:AlternateContent>
  <xr:revisionPtr revIDLastSave="0" documentId="13_ncr:1_{E3CC6AC7-2825-4570-82EE-75F89B265934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8" r:id="rId6"/>
    <sheet name="JNLTRAV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65" i="158" l="1"/>
  <c r="B251" i="158"/>
  <c r="B237" i="158"/>
  <c r="B223" i="158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D343" i="157"/>
  <c r="D324" i="157"/>
  <c r="D305" i="157"/>
  <c r="D286" i="157"/>
  <c r="D267" i="157"/>
  <c r="D248" i="157"/>
  <c r="D229" i="157"/>
  <c r="D210" i="157"/>
  <c r="D191" i="157"/>
  <c r="D172" i="157"/>
  <c r="D153" i="157"/>
  <c r="D134" i="157"/>
  <c r="D115" i="157"/>
  <c r="D96" i="157"/>
  <c r="D77" i="157"/>
  <c r="D58" i="157"/>
  <c r="D39" i="157"/>
  <c r="D20" i="157"/>
  <c r="D1" i="157"/>
  <c r="B360" i="157"/>
  <c r="B341" i="157"/>
  <c r="B322" i="157"/>
  <c r="B303" i="157"/>
  <c r="B284" i="157"/>
  <c r="B265" i="157"/>
  <c r="B246" i="157"/>
  <c r="B227" i="157"/>
  <c r="B208" i="157"/>
  <c r="B189" i="157"/>
  <c r="B170" i="157"/>
  <c r="B151" i="157"/>
  <c r="B132" i="157"/>
  <c r="B113" i="157"/>
  <c r="B94" i="157"/>
  <c r="B75" i="157"/>
  <c r="B56" i="157"/>
  <c r="B37" i="157"/>
  <c r="B18" i="157"/>
  <c r="B18" i="154" l="1"/>
  <c r="B13" i="11" l="1"/>
</calcChain>
</file>

<file path=xl/sharedStrings.xml><?xml version="1.0" encoding="utf-8"?>
<sst xmlns="http://schemas.openxmlformats.org/spreadsheetml/2006/main" count="383" uniqueCount="60">
  <si>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</si>
  <si>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</si>
  <si>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</si>
  <si>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</si>
  <si>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</si>
  <si>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</si>
  <si>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</si>
  <si>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</si>
  <si>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</si>
  <si>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</si>
  <si>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</si>
  <si>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</si>
  <si>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</si>
  <si>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</si>
  <si>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</si>
  <si>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</si>
  <si>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</si>
  <si>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</si>
  <si>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</si>
  <si>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</si>
  <si>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</si>
  <si>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</si>
  <si>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</si>
  <si>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</si>
  <si>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</si>
  <si>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Omar - Egal Ahmed</t>
  </si>
  <si>
    <t>FIN1</t>
  </si>
  <si>
    <t>Lausannne - Vennes</t>
  </si>
  <si>
    <t>Afficher</t>
  </si>
  <si>
    <t>Corriger</t>
  </si>
  <si>
    <t>Implémanter</t>
  </si>
  <si>
    <t>Rendre</t>
  </si>
  <si>
    <t>Aide</t>
  </si>
  <si>
    <t>Effectuer</t>
  </si>
  <si>
    <t>Max. 12</t>
  </si>
  <si>
    <t>STOP</t>
  </si>
  <si>
    <t xml:space="preserve">L'analyse du projet </t>
  </si>
  <si>
    <t xml:space="preserve">Le diagramme de classe </t>
  </si>
  <si>
    <t>Le diagramme de séquence</t>
  </si>
  <si>
    <t>La création du projet sur Visual Studio et faire un Git puis le lier à Github.</t>
  </si>
  <si>
    <t>Le menu pricipal avec les onglets: Jouer; Options; Higscore; A propos; Quitter.</t>
  </si>
  <si>
    <t>Vacances de février -  Les Relâches</t>
  </si>
  <si>
    <t>Vacances de paques</t>
  </si>
  <si>
    <t>Le vaisseaux du joueur</t>
  </si>
  <si>
    <t>le déplacement avec les touches flèche de gauche et de droite.</t>
  </si>
  <si>
    <t>Le vaisseaux du joueur insortable des limite de la fenêtre de la console</t>
  </si>
  <si>
    <t>La planification des premières semaines sur excel.</t>
  </si>
  <si>
    <t>La planification de tout le projet semaines sur excel.</t>
  </si>
  <si>
    <t>Une reflexion sur papier du projet</t>
  </si>
  <si>
    <t>Création des classes et du vaisseaux et son déplacement</t>
  </si>
  <si>
    <t>Correction de bug.</t>
  </si>
  <si>
    <t>Le code pour la logique basique du jeu: missile, ennemi, deplacement de ces derniers et collision</t>
  </si>
  <si>
    <t>Correction de bug suite à l'ajout du code pour gérer les hitboxs.</t>
  </si>
  <si>
    <t>le code pour intégrer une logique de hitmap dans le jeu Spicyinvader dans C#</t>
  </si>
  <si>
    <t xml:space="preserve">la Méthode pour créer le défilement en serpent d'un ennemi </t>
  </si>
  <si>
    <t>Bug de la semaine passé</t>
  </si>
  <si>
    <t>Vacances de relâches</t>
  </si>
  <si>
    <t>Exercice théorique à finir</t>
  </si>
  <si>
    <t xml:space="preserve"> de bug </t>
  </si>
  <si>
    <t>le code pour faire lancer un missile à l'ennemi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</si>
</sst>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45309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45443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19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3" t="s">
        <v>19</v>
      </c>
      <c r="C19" s="94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33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28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2F3DC-233A-4225-98A3-D32EFF58F956}">
  <sheetPr codeName="Feuil5"/>
  <dimension ref="A1:H267"/>
  <sheetViews>
    <sheetView topLeftCell="A32" workbookViewId="0">
      <selection activeCell="A17" sqref="A17:C1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33</v>
      </c>
      <c r="B3" s="4">
        <v>4</v>
      </c>
      <c r="C3" s="89" t="s">
        <v>36</v>
      </c>
      <c r="D3" s="9"/>
    </row>
    <row r="4" spans="1:4" s="52" customFormat="1" x14ac:dyDescent="0.25">
      <c r="A4" s="1" t="s">
        <v>33</v>
      </c>
      <c r="B4" s="2">
        <v>6</v>
      </c>
      <c r="C4" s="90" t="s">
        <v>47</v>
      </c>
      <c r="D4" s="10"/>
    </row>
    <row r="5" spans="1:4" s="52" customFormat="1" x14ac:dyDescent="0.25">
      <c r="A5" s="1" t="s">
        <v>33</v>
      </c>
      <c r="B5" s="2">
        <v>2</v>
      </c>
      <c r="C5" s="90" t="s">
        <v>39</v>
      </c>
      <c r="D5" s="10"/>
    </row>
    <row r="6" spans="1:4" s="52" customFormat="1" x14ac:dyDescent="0.25">
      <c r="A6" s="1"/>
      <c r="B6" s="2"/>
      <c r="C6" s="9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6" t="s">
        <v>34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33</v>
      </c>
      <c r="B17" s="4">
        <v>3</v>
      </c>
      <c r="C17" s="9" t="s">
        <v>37</v>
      </c>
      <c r="D17" s="9"/>
    </row>
    <row r="18" spans="1:8" x14ac:dyDescent="0.25">
      <c r="A18" s="1" t="s">
        <v>33</v>
      </c>
      <c r="B18" s="2">
        <v>3</v>
      </c>
      <c r="C18" s="10" t="s">
        <v>38</v>
      </c>
      <c r="D18" s="10"/>
    </row>
    <row r="19" spans="1:8" x14ac:dyDescent="0.25">
      <c r="A19" s="1" t="s">
        <v>28</v>
      </c>
      <c r="B19" s="2">
        <v>6</v>
      </c>
      <c r="C19" s="90" t="s">
        <v>40</v>
      </c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86" t="s">
        <v>34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28</v>
      </c>
      <c r="B31" s="4"/>
      <c r="C31" s="89" t="s">
        <v>43</v>
      </c>
      <c r="D31" s="9"/>
      <c r="F31" s="40"/>
      <c r="G31" s="40"/>
      <c r="H31" s="40"/>
    </row>
    <row r="32" spans="1:8" x14ac:dyDescent="0.25">
      <c r="A32" s="1" t="s">
        <v>33</v>
      </c>
      <c r="B32" s="2"/>
      <c r="C32" s="90" t="s">
        <v>44</v>
      </c>
      <c r="D32" s="10"/>
    </row>
    <row r="33" spans="1:4" x14ac:dyDescent="0.25">
      <c r="A33" s="1" t="s">
        <v>31</v>
      </c>
      <c r="B33" s="2"/>
      <c r="C33" s="90" t="s">
        <v>45</v>
      </c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0</v>
      </c>
      <c r="C41" s="86" t="s">
        <v>34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/>
      <c r="B45" s="4"/>
      <c r="C45" s="9"/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6" t="s">
        <v>34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21</v>
      </c>
      <c r="B59" s="4"/>
      <c r="C59" s="89" t="s">
        <v>41</v>
      </c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6" t="s">
        <v>34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6" t="s">
        <v>34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6" t="s">
        <v>34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6" t="s">
        <v>34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5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6" t="s">
        <v>34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5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6" t="s">
        <v>34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5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6" t="s">
        <v>34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5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 t="s">
        <v>21</v>
      </c>
      <c r="B157" s="4">
        <v>12</v>
      </c>
      <c r="C157" s="89" t="s">
        <v>42</v>
      </c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12</v>
      </c>
      <c r="C167" s="86" t="s">
        <v>34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5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 t="s">
        <v>21</v>
      </c>
      <c r="B171" s="4">
        <v>12</v>
      </c>
      <c r="C171" s="9" t="s">
        <v>42</v>
      </c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12</v>
      </c>
      <c r="C181" s="86" t="s">
        <v>34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5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6" t="s">
        <v>34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5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6" t="s">
        <v>34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5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6" t="s">
        <v>34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5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6" t="s">
        <v>34</v>
      </c>
      <c r="D237" s="13"/>
    </row>
    <row r="238" spans="1:4" ht="15" thickBot="1" x14ac:dyDescent="0.35">
      <c r="A238" s="14"/>
      <c r="B238" s="14"/>
      <c r="C238" s="14"/>
      <c r="D238" s="14"/>
    </row>
    <row r="239" spans="1:4" ht="18.75" thickBot="1" x14ac:dyDescent="0.3">
      <c r="A239" s="6" t="s">
        <v>14</v>
      </c>
      <c r="B239" s="7">
        <v>18</v>
      </c>
      <c r="C239" s="17"/>
      <c r="D239" s="85"/>
    </row>
    <row r="240" spans="1:4" ht="27.75" thickBot="1" x14ac:dyDescent="0.3">
      <c r="A240" s="8" t="s">
        <v>3</v>
      </c>
      <c r="B240" s="18" t="s">
        <v>15</v>
      </c>
      <c r="C240" s="8" t="s">
        <v>7</v>
      </c>
      <c r="D240" s="8" t="s">
        <v>13</v>
      </c>
    </row>
    <row r="241" spans="1:4" x14ac:dyDescent="0.25">
      <c r="A241" s="5"/>
      <c r="B241" s="4"/>
      <c r="C241" s="9"/>
      <c r="D241" s="9"/>
    </row>
    <row r="242" spans="1:4" x14ac:dyDescent="0.25">
      <c r="A242" s="1"/>
      <c r="B242" s="2"/>
      <c r="C242" s="10"/>
      <c r="D242" s="10"/>
    </row>
    <row r="243" spans="1:4" x14ac:dyDescent="0.25">
      <c r="A243" s="1"/>
      <c r="B243" s="2"/>
      <c r="C243" s="10"/>
      <c r="D243" s="10"/>
    </row>
    <row r="244" spans="1:4" x14ac:dyDescent="0.25">
      <c r="A244" s="1"/>
      <c r="B244" s="2"/>
      <c r="C244" s="10"/>
      <c r="D244" s="10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2"/>
      <c r="B247" s="2"/>
      <c r="C247" s="10"/>
      <c r="D247" s="10"/>
    </row>
    <row r="248" spans="1:4" x14ac:dyDescent="0.25">
      <c r="A248" s="2"/>
      <c r="B248" s="2"/>
      <c r="C248" s="10"/>
      <c r="D248" s="10"/>
    </row>
    <row r="249" spans="1:4" x14ac:dyDescent="0.25">
      <c r="A249" s="2"/>
      <c r="B249" s="2"/>
      <c r="C249" s="10"/>
      <c r="D249" s="10"/>
    </row>
    <row r="250" spans="1:4" ht="14.25" thickBot="1" x14ac:dyDescent="0.3">
      <c r="A250" s="3"/>
      <c r="B250" s="3"/>
      <c r="C250" s="11"/>
      <c r="D250" s="11"/>
    </row>
    <row r="251" spans="1:4" ht="14.25" thickBot="1" x14ac:dyDescent="0.3">
      <c r="A251" s="12" t="s">
        <v>22</v>
      </c>
      <c r="B251" s="12">
        <f>SUM(B241:B250)</f>
        <v>0</v>
      </c>
      <c r="C251" s="86" t="s">
        <v>34</v>
      </c>
      <c r="D251" s="13"/>
    </row>
    <row r="252" spans="1:4" ht="15" thickBot="1" x14ac:dyDescent="0.35">
      <c r="A252" s="14"/>
      <c r="B252" s="14"/>
      <c r="C252" s="14"/>
      <c r="D252" s="14"/>
    </row>
    <row r="253" spans="1:4" ht="18.75" thickBot="1" x14ac:dyDescent="0.3">
      <c r="A253" s="6" t="s">
        <v>14</v>
      </c>
      <c r="B253" s="7">
        <v>19</v>
      </c>
      <c r="C253" s="17"/>
      <c r="D253" s="85"/>
    </row>
    <row r="254" spans="1:4" ht="27.75" thickBot="1" x14ac:dyDescent="0.3">
      <c r="A254" s="8" t="s">
        <v>3</v>
      </c>
      <c r="B254" s="18" t="s">
        <v>15</v>
      </c>
      <c r="C254" s="8" t="s">
        <v>7</v>
      </c>
      <c r="D254" s="8" t="s">
        <v>13</v>
      </c>
    </row>
    <row r="255" spans="1:4" x14ac:dyDescent="0.25">
      <c r="A255" s="5"/>
      <c r="B255" s="4"/>
      <c r="C255" s="9"/>
      <c r="D255" s="9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1"/>
      <c r="B259" s="2"/>
      <c r="C259" s="10"/>
      <c r="D259" s="10"/>
    </row>
    <row r="260" spans="1:4" x14ac:dyDescent="0.25">
      <c r="A260" s="1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2"/>
      <c r="B262" s="2"/>
      <c r="C262" s="10"/>
      <c r="D262" s="10"/>
    </row>
    <row r="263" spans="1:4" x14ac:dyDescent="0.25">
      <c r="A263" s="2"/>
      <c r="B263" s="2"/>
      <c r="C263" s="10"/>
      <c r="D263" s="10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12" t="s">
        <v>22</v>
      </c>
      <c r="B265" s="12">
        <f>SUM(B255:B264)</f>
        <v>0</v>
      </c>
      <c r="C265" s="86" t="s">
        <v>34</v>
      </c>
      <c r="D265" s="13"/>
    </row>
    <row r="266" spans="1:4" ht="14.25" x14ac:dyDescent="0.3">
      <c r="A266" s="14"/>
      <c r="B266" s="14"/>
      <c r="C266" s="14"/>
      <c r="D266" s="14"/>
    </row>
    <row r="267" spans="1:4" x14ac:dyDescent="0.25">
      <c r="A267" s="87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 A241:A250 A255:A264" xr:uid="{8591C1F6-7260-47D0-8F21-E2EAA5DB9D93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" xr:uid="{6080B199-84AE-4574-B743-5122611E107A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 B241:B250 B255:B264" xr:uid="{8DAB300D-3710-4C7A-AA60-6314F7C552C5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D64015E-A903-4751-97B9-6A7EB3D1A96C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4981C-CAC9-40B8-ABA4-52DB6B84A431}">
  <sheetPr codeName="Feuil9"/>
  <dimension ref="A1:H362"/>
  <sheetViews>
    <sheetView tabSelected="1" topLeftCell="A400" workbookViewId="0">
      <selection activeCell="C138" sqref="C13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45309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33</v>
      </c>
      <c r="B3" s="4">
        <v>4</v>
      </c>
      <c r="C3" s="89" t="s">
        <v>36</v>
      </c>
      <c r="D3" s="9"/>
    </row>
    <row r="4" spans="1:4" s="52" customFormat="1" x14ac:dyDescent="0.25">
      <c r="A4" s="1" t="s">
        <v>33</v>
      </c>
      <c r="B4" s="2">
        <v>6</v>
      </c>
      <c r="C4" s="90" t="s">
        <v>46</v>
      </c>
      <c r="D4" s="10"/>
    </row>
    <row r="5" spans="1:4" s="52" customFormat="1" x14ac:dyDescent="0.25">
      <c r="A5" s="1" t="s">
        <v>33</v>
      </c>
      <c r="B5" s="2">
        <v>2</v>
      </c>
      <c r="C5" s="90" t="s">
        <v>39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8" t="s">
        <v>34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45316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33</v>
      </c>
      <c r="B22" s="4">
        <v>3</v>
      </c>
      <c r="C22" s="89" t="s">
        <v>48</v>
      </c>
      <c r="D22" s="9"/>
    </row>
    <row r="23" spans="1:8" x14ac:dyDescent="0.25">
      <c r="A23" s="1" t="s">
        <v>33</v>
      </c>
      <c r="B23" s="2">
        <v>3</v>
      </c>
      <c r="C23" s="10"/>
      <c r="D23" s="10"/>
    </row>
    <row r="24" spans="1:8" x14ac:dyDescent="0.25">
      <c r="A24" s="1" t="s">
        <v>28</v>
      </c>
      <c r="B24" s="2">
        <v>6</v>
      </c>
      <c r="C24" s="90" t="s">
        <v>49</v>
      </c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88" t="s">
        <v>34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45323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27" x14ac:dyDescent="0.25">
      <c r="A41" s="5" t="s">
        <v>33</v>
      </c>
      <c r="B41" s="4">
        <v>8</v>
      </c>
      <c r="C41" s="89" t="s">
        <v>51</v>
      </c>
      <c r="D41" s="9"/>
    </row>
    <row r="42" spans="1:8" x14ac:dyDescent="0.25">
      <c r="A42" s="1" t="s">
        <v>29</v>
      </c>
      <c r="B42" s="2">
        <v>4</v>
      </c>
      <c r="C42" s="90" t="s">
        <v>50</v>
      </c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88" t="s">
        <v>34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45330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33</v>
      </c>
      <c r="B60" s="4"/>
      <c r="C60" s="89" t="s">
        <v>53</v>
      </c>
      <c r="D60" s="9"/>
    </row>
    <row r="61" spans="1:4" x14ac:dyDescent="0.25">
      <c r="A61" s="1" t="s">
        <v>29</v>
      </c>
      <c r="B61" s="2"/>
      <c r="C61" s="90" t="s">
        <v>52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8" t="s">
        <v>34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45337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21</v>
      </c>
      <c r="B79" s="4">
        <v>12</v>
      </c>
      <c r="C79" s="91" t="s">
        <v>56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12</v>
      </c>
      <c r="C94" s="88" t="s">
        <v>34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45344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8" t="s">
        <v>34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45351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 t="s">
        <v>29</v>
      </c>
      <c r="B117" s="4">
        <v>3</v>
      </c>
      <c r="C117" s="91" t="s">
        <v>58</v>
      </c>
      <c r="D117" s="9"/>
    </row>
    <row r="118" spans="1:4" x14ac:dyDescent="0.25">
      <c r="A118" s="1" t="s">
        <v>21</v>
      </c>
      <c r="B118" s="2">
        <v>6</v>
      </c>
      <c r="C118" s="92" t="s">
        <v>57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9</v>
      </c>
      <c r="C132" s="88" t="s">
        <v>34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45358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 t="s">
        <v>30</v>
      </c>
      <c r="B136" s="4"/>
      <c r="C136" s="91" t="s">
        <v>54</v>
      </c>
      <c r="D136" s="9"/>
    </row>
    <row r="137" spans="1:4" x14ac:dyDescent="0.25">
      <c r="A137" s="1" t="s">
        <v>29</v>
      </c>
      <c r="B137" s="2"/>
      <c r="C137" s="92" t="s">
        <v>55</v>
      </c>
      <c r="D137" s="10"/>
    </row>
    <row r="138" spans="1:4" x14ac:dyDescent="0.25">
      <c r="A138" s="1" t="s">
        <v>33</v>
      </c>
      <c r="B138" s="2"/>
      <c r="C138" s="92" t="s">
        <v>59</v>
      </c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8" t="s">
        <v>34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14</v>
      </c>
      <c r="B153" s="43">
        <v>9</v>
      </c>
      <c r="C153" s="44" t="s">
        <v>23</v>
      </c>
      <c r="D153" s="53">
        <f>$D$134+7</f>
        <v>45365</v>
      </c>
    </row>
    <row r="154" spans="1:4" ht="27.75" thickBot="1" x14ac:dyDescent="0.3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22</v>
      </c>
      <c r="B170" s="47">
        <f>SUM(B155:B169)</f>
        <v>0</v>
      </c>
      <c r="C170" s="88" t="s">
        <v>34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14</v>
      </c>
      <c r="B172" s="43">
        <v>10</v>
      </c>
      <c r="C172" s="44" t="s">
        <v>23</v>
      </c>
      <c r="D172" s="53">
        <f>$D$153+7</f>
        <v>45372</v>
      </c>
    </row>
    <row r="173" spans="1:4" ht="27.75" thickBot="1" x14ac:dyDescent="0.3">
      <c r="A173" s="45" t="s">
        <v>3</v>
      </c>
      <c r="B173" s="46" t="s">
        <v>15</v>
      </c>
      <c r="C173" s="45" t="s">
        <v>7</v>
      </c>
      <c r="D173" s="45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22</v>
      </c>
      <c r="B189" s="47">
        <f>SUM(B174:B188)</f>
        <v>0</v>
      </c>
      <c r="C189" s="88" t="s">
        <v>34</v>
      </c>
      <c r="D189" s="48"/>
    </row>
    <row r="190" spans="1:4" ht="15" thickBot="1" x14ac:dyDescent="0.35">
      <c r="A190" s="49"/>
      <c r="B190" s="49"/>
      <c r="C190" s="49"/>
      <c r="D190" s="49"/>
    </row>
    <row r="191" spans="1:4" ht="18.75" thickBot="1" x14ac:dyDescent="0.3">
      <c r="A191" s="42" t="s">
        <v>14</v>
      </c>
      <c r="B191" s="43">
        <v>11</v>
      </c>
      <c r="C191" s="44" t="s">
        <v>23</v>
      </c>
      <c r="D191" s="53">
        <f>$D$172+7</f>
        <v>45379</v>
      </c>
    </row>
    <row r="192" spans="1:4" ht="27.75" thickBot="1" x14ac:dyDescent="0.3">
      <c r="A192" s="45" t="s">
        <v>3</v>
      </c>
      <c r="B192" s="46" t="s">
        <v>15</v>
      </c>
      <c r="C192" s="45" t="s">
        <v>7</v>
      </c>
      <c r="D192" s="45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0"/>
      <c r="B205" s="50"/>
      <c r="C205" s="51"/>
      <c r="D205" s="51"/>
    </row>
    <row r="206" spans="1:4" x14ac:dyDescent="0.25">
      <c r="A206" s="50"/>
      <c r="B206" s="50"/>
      <c r="C206" s="51"/>
      <c r="D206" s="51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7" t="s">
        <v>22</v>
      </c>
      <c r="B208" s="47">
        <f>SUM(B193:B207)</f>
        <v>0</v>
      </c>
      <c r="C208" s="88" t="s">
        <v>34</v>
      </c>
      <c r="D208" s="48"/>
    </row>
    <row r="209" spans="1:4" ht="15" thickBot="1" x14ac:dyDescent="0.35">
      <c r="A209" s="49"/>
      <c r="B209" s="49"/>
      <c r="C209" s="49"/>
      <c r="D209" s="49"/>
    </row>
    <row r="210" spans="1:4" ht="18.75" thickBot="1" x14ac:dyDescent="0.3">
      <c r="A210" s="42" t="s">
        <v>14</v>
      </c>
      <c r="B210" s="43">
        <v>12</v>
      </c>
      <c r="C210" s="44" t="s">
        <v>23</v>
      </c>
      <c r="D210" s="53">
        <f>$D$191+7</f>
        <v>45386</v>
      </c>
    </row>
    <row r="211" spans="1:4" ht="27.75" thickBot="1" x14ac:dyDescent="0.3">
      <c r="A211" s="45" t="s">
        <v>3</v>
      </c>
      <c r="B211" s="46" t="s">
        <v>15</v>
      </c>
      <c r="C211" s="45" t="s">
        <v>7</v>
      </c>
      <c r="D211" s="45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0"/>
      <c r="B224" s="50"/>
      <c r="C224" s="51"/>
      <c r="D224" s="51"/>
    </row>
    <row r="225" spans="1:4" x14ac:dyDescent="0.25">
      <c r="A225" s="50"/>
      <c r="B225" s="50"/>
      <c r="C225" s="51"/>
      <c r="D225" s="51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7" t="s">
        <v>22</v>
      </c>
      <c r="B227" s="47">
        <f>SUM(B212:B226)</f>
        <v>0</v>
      </c>
      <c r="C227" s="88" t="s">
        <v>34</v>
      </c>
      <c r="D227" s="48"/>
    </row>
    <row r="228" spans="1:4" ht="15" thickBot="1" x14ac:dyDescent="0.35">
      <c r="A228" s="49"/>
      <c r="B228" s="49"/>
      <c r="C228" s="49"/>
      <c r="D228" s="49"/>
    </row>
    <row r="229" spans="1:4" ht="18.75" thickBot="1" x14ac:dyDescent="0.3">
      <c r="A229" s="42" t="s">
        <v>14</v>
      </c>
      <c r="B229" s="43">
        <v>13</v>
      </c>
      <c r="C229" s="44" t="s">
        <v>23</v>
      </c>
      <c r="D229" s="53">
        <f>$D$210+7</f>
        <v>45393</v>
      </c>
    </row>
    <row r="230" spans="1:4" ht="27.75" thickBot="1" x14ac:dyDescent="0.3">
      <c r="A230" s="45" t="s">
        <v>3</v>
      </c>
      <c r="B230" s="46" t="s">
        <v>15</v>
      </c>
      <c r="C230" s="45" t="s">
        <v>7</v>
      </c>
      <c r="D230" s="45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0"/>
      <c r="B243" s="50"/>
      <c r="C243" s="51"/>
      <c r="D243" s="51"/>
    </row>
    <row r="244" spans="1:4" x14ac:dyDescent="0.25">
      <c r="A244" s="50"/>
      <c r="B244" s="50"/>
      <c r="C244" s="51"/>
      <c r="D244" s="51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7" t="s">
        <v>22</v>
      </c>
      <c r="B246" s="47">
        <f>SUM(B231:B245)</f>
        <v>0</v>
      </c>
      <c r="C246" s="88" t="s">
        <v>34</v>
      </c>
      <c r="D246" s="48"/>
    </row>
    <row r="247" spans="1:4" ht="15" thickBot="1" x14ac:dyDescent="0.35">
      <c r="A247" s="49"/>
      <c r="B247" s="49"/>
      <c r="C247" s="49"/>
      <c r="D247" s="49"/>
    </row>
    <row r="248" spans="1:4" ht="18.75" thickBot="1" x14ac:dyDescent="0.3">
      <c r="A248" s="42" t="s">
        <v>14</v>
      </c>
      <c r="B248" s="43">
        <v>14</v>
      </c>
      <c r="C248" s="44" t="s">
        <v>23</v>
      </c>
      <c r="D248" s="53">
        <f>$D$229+7</f>
        <v>45400</v>
      </c>
    </row>
    <row r="249" spans="1:4" ht="27.75" thickBot="1" x14ac:dyDescent="0.3">
      <c r="A249" s="45" t="s">
        <v>3</v>
      </c>
      <c r="B249" s="46" t="s">
        <v>15</v>
      </c>
      <c r="C249" s="45" t="s">
        <v>7</v>
      </c>
      <c r="D249" s="45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0"/>
      <c r="B262" s="50"/>
      <c r="C262" s="51"/>
      <c r="D262" s="51"/>
    </row>
    <row r="263" spans="1:4" x14ac:dyDescent="0.25">
      <c r="A263" s="50"/>
      <c r="B263" s="50"/>
      <c r="C263" s="51"/>
      <c r="D263" s="51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7" t="s">
        <v>22</v>
      </c>
      <c r="B265" s="47">
        <f>SUM(B250:B264)</f>
        <v>0</v>
      </c>
      <c r="C265" s="88" t="s">
        <v>34</v>
      </c>
      <c r="D265" s="48"/>
    </row>
    <row r="266" spans="1:4" ht="15" thickBot="1" x14ac:dyDescent="0.35">
      <c r="A266" s="49"/>
      <c r="B266" s="49"/>
      <c r="C266" s="49"/>
      <c r="D266" s="49"/>
    </row>
    <row r="267" spans="1:4" ht="18.75" thickBot="1" x14ac:dyDescent="0.3">
      <c r="A267" s="42" t="s">
        <v>14</v>
      </c>
      <c r="B267" s="43">
        <v>15</v>
      </c>
      <c r="C267" s="44" t="s">
        <v>23</v>
      </c>
      <c r="D267" s="53">
        <f>$D$248+7</f>
        <v>45407</v>
      </c>
    </row>
    <row r="268" spans="1:4" ht="27.75" thickBot="1" x14ac:dyDescent="0.3">
      <c r="A268" s="45" t="s">
        <v>3</v>
      </c>
      <c r="B268" s="46" t="s">
        <v>15</v>
      </c>
      <c r="C268" s="45" t="s">
        <v>7</v>
      </c>
      <c r="D268" s="45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0"/>
      <c r="B281" s="50"/>
      <c r="C281" s="51"/>
      <c r="D281" s="51"/>
    </row>
    <row r="282" spans="1:4" x14ac:dyDescent="0.25">
      <c r="A282" s="50"/>
      <c r="B282" s="50"/>
      <c r="C282" s="51"/>
      <c r="D282" s="51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7" t="s">
        <v>22</v>
      </c>
      <c r="B284" s="47">
        <f>SUM(B269:B283)</f>
        <v>0</v>
      </c>
      <c r="C284" s="88" t="s">
        <v>34</v>
      </c>
      <c r="D284" s="48"/>
    </row>
    <row r="285" spans="1:4" ht="15" thickBot="1" x14ac:dyDescent="0.35">
      <c r="A285" s="49"/>
      <c r="B285" s="49"/>
      <c r="C285" s="49"/>
      <c r="D285" s="49"/>
    </row>
    <row r="286" spans="1:4" ht="18.75" thickBot="1" x14ac:dyDescent="0.3">
      <c r="A286" s="42" t="s">
        <v>14</v>
      </c>
      <c r="B286" s="43">
        <v>16</v>
      </c>
      <c r="C286" s="44" t="s">
        <v>23</v>
      </c>
      <c r="D286" s="53">
        <f>$D$267+7</f>
        <v>45414</v>
      </c>
    </row>
    <row r="287" spans="1:4" ht="27.75" thickBot="1" x14ac:dyDescent="0.3">
      <c r="A287" s="45" t="s">
        <v>3</v>
      </c>
      <c r="B287" s="46" t="s">
        <v>15</v>
      </c>
      <c r="C287" s="45" t="s">
        <v>7</v>
      </c>
      <c r="D287" s="45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0"/>
      <c r="B300" s="50"/>
      <c r="C300" s="51"/>
      <c r="D300" s="51"/>
    </row>
    <row r="301" spans="1:4" x14ac:dyDescent="0.25">
      <c r="A301" s="50"/>
      <c r="B301" s="50"/>
      <c r="C301" s="51"/>
      <c r="D301" s="51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7" t="s">
        <v>22</v>
      </c>
      <c r="B303" s="47">
        <f>SUM(B288:B302)</f>
        <v>0</v>
      </c>
      <c r="C303" s="88" t="s">
        <v>34</v>
      </c>
      <c r="D303" s="48"/>
    </row>
    <row r="304" spans="1:4" ht="15" thickBot="1" x14ac:dyDescent="0.35">
      <c r="A304" s="49"/>
      <c r="B304" s="49"/>
      <c r="C304" s="49"/>
      <c r="D304" s="49"/>
    </row>
    <row r="305" spans="1:4" ht="18.75" thickBot="1" x14ac:dyDescent="0.3">
      <c r="A305" s="42" t="s">
        <v>14</v>
      </c>
      <c r="B305" s="43">
        <v>17</v>
      </c>
      <c r="C305" s="44" t="s">
        <v>23</v>
      </c>
      <c r="D305" s="53">
        <f>$D$286+7</f>
        <v>45421</v>
      </c>
    </row>
    <row r="306" spans="1:4" ht="27.75" thickBot="1" x14ac:dyDescent="0.3">
      <c r="A306" s="45" t="s">
        <v>3</v>
      </c>
      <c r="B306" s="46" t="s">
        <v>15</v>
      </c>
      <c r="C306" s="45" t="s">
        <v>7</v>
      </c>
      <c r="D306" s="45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0"/>
      <c r="B319" s="50"/>
      <c r="C319" s="51"/>
      <c r="D319" s="51"/>
    </row>
    <row r="320" spans="1:4" x14ac:dyDescent="0.25">
      <c r="A320" s="50"/>
      <c r="B320" s="50"/>
      <c r="C320" s="51"/>
      <c r="D320" s="51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7" t="s">
        <v>22</v>
      </c>
      <c r="B322" s="47">
        <f>SUM(B307:B321)</f>
        <v>0</v>
      </c>
      <c r="C322" s="88" t="s">
        <v>34</v>
      </c>
      <c r="D322" s="48"/>
    </row>
    <row r="323" spans="1:4" ht="15" thickBot="1" x14ac:dyDescent="0.35">
      <c r="A323" s="49"/>
      <c r="B323" s="49"/>
      <c r="C323" s="49"/>
      <c r="D323" s="49"/>
    </row>
    <row r="324" spans="1:4" ht="18.75" thickBot="1" x14ac:dyDescent="0.3">
      <c r="A324" s="42" t="s">
        <v>14</v>
      </c>
      <c r="B324" s="43">
        <v>18</v>
      </c>
      <c r="C324" s="44" t="s">
        <v>23</v>
      </c>
      <c r="D324" s="53">
        <f>$D$305+7</f>
        <v>45428</v>
      </c>
    </row>
    <row r="325" spans="1:4" ht="27.75" thickBot="1" x14ac:dyDescent="0.3">
      <c r="A325" s="45" t="s">
        <v>3</v>
      </c>
      <c r="B325" s="46" t="s">
        <v>15</v>
      </c>
      <c r="C325" s="45" t="s">
        <v>7</v>
      </c>
      <c r="D325" s="45" t="s">
        <v>13</v>
      </c>
    </row>
    <row r="326" spans="1:4" x14ac:dyDescent="0.25">
      <c r="A326" s="5"/>
      <c r="B326" s="4"/>
      <c r="C326" s="9"/>
      <c r="D326" s="9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1"/>
      <c r="B332" s="2"/>
      <c r="C332" s="10"/>
      <c r="D332" s="10"/>
    </row>
    <row r="333" spans="1:4" x14ac:dyDescent="0.25">
      <c r="A333" s="1"/>
      <c r="B333" s="2"/>
      <c r="C333" s="10"/>
      <c r="D333" s="10"/>
    </row>
    <row r="334" spans="1:4" x14ac:dyDescent="0.25">
      <c r="A334" s="1"/>
      <c r="B334" s="2"/>
      <c r="C334" s="10"/>
      <c r="D334" s="10"/>
    </row>
    <row r="335" spans="1:4" x14ac:dyDescent="0.25">
      <c r="A335" s="2"/>
      <c r="B335" s="2"/>
      <c r="C335" s="10"/>
      <c r="D335" s="10"/>
    </row>
    <row r="336" spans="1:4" x14ac:dyDescent="0.25">
      <c r="A336" s="2"/>
      <c r="B336" s="2"/>
      <c r="C336" s="10"/>
      <c r="D336" s="10"/>
    </row>
    <row r="337" spans="1:4" x14ac:dyDescent="0.25">
      <c r="A337" s="2"/>
      <c r="B337" s="2"/>
      <c r="C337" s="10"/>
      <c r="D337" s="10"/>
    </row>
    <row r="338" spans="1:4" x14ac:dyDescent="0.25">
      <c r="A338" s="50"/>
      <c r="B338" s="50"/>
      <c r="C338" s="51"/>
      <c r="D338" s="51"/>
    </row>
    <row r="339" spans="1:4" x14ac:dyDescent="0.25">
      <c r="A339" s="50"/>
      <c r="B339" s="50"/>
      <c r="C339" s="51"/>
      <c r="D339" s="51"/>
    </row>
    <row r="340" spans="1:4" ht="14.25" thickBot="1" x14ac:dyDescent="0.3">
      <c r="A340" s="3"/>
      <c r="B340" s="3"/>
      <c r="C340" s="11"/>
      <c r="D340" s="11"/>
    </row>
    <row r="341" spans="1:4" ht="14.25" thickBot="1" x14ac:dyDescent="0.3">
      <c r="A341" s="47" t="s">
        <v>22</v>
      </c>
      <c r="B341" s="47">
        <f>SUM(B326:B340)</f>
        <v>0</v>
      </c>
      <c r="C341" s="88" t="s">
        <v>34</v>
      </c>
      <c r="D341" s="48"/>
    </row>
    <row r="342" spans="1:4" ht="15" thickBot="1" x14ac:dyDescent="0.35">
      <c r="A342" s="49"/>
      <c r="B342" s="49"/>
      <c r="C342" s="49"/>
      <c r="D342" s="49"/>
    </row>
    <row r="343" spans="1:4" ht="18.75" thickBot="1" x14ac:dyDescent="0.3">
      <c r="A343" s="42" t="s">
        <v>14</v>
      </c>
      <c r="B343" s="43">
        <v>19</v>
      </c>
      <c r="C343" s="44" t="s">
        <v>23</v>
      </c>
      <c r="D343" s="53">
        <f>$D$324+7</f>
        <v>45435</v>
      </c>
    </row>
    <row r="344" spans="1:4" ht="27.75" thickBot="1" x14ac:dyDescent="0.3">
      <c r="A344" s="45" t="s">
        <v>3</v>
      </c>
      <c r="B344" s="46" t="s">
        <v>15</v>
      </c>
      <c r="C344" s="45" t="s">
        <v>7</v>
      </c>
      <c r="D344" s="45" t="s">
        <v>13</v>
      </c>
    </row>
    <row r="345" spans="1:4" x14ac:dyDescent="0.25">
      <c r="A345" s="5"/>
      <c r="B345" s="4"/>
      <c r="C345" s="9"/>
      <c r="D345" s="9"/>
    </row>
    <row r="346" spans="1:4" x14ac:dyDescent="0.25">
      <c r="A346" s="1"/>
      <c r="B346" s="2"/>
      <c r="C346" s="10"/>
      <c r="D346" s="10"/>
    </row>
    <row r="347" spans="1:4" x14ac:dyDescent="0.25">
      <c r="A347" s="1"/>
      <c r="B347" s="2"/>
      <c r="C347" s="10"/>
      <c r="D347" s="10"/>
    </row>
    <row r="348" spans="1:4" x14ac:dyDescent="0.25">
      <c r="A348" s="1"/>
      <c r="B348" s="2"/>
      <c r="C348" s="10"/>
      <c r="D348" s="10"/>
    </row>
    <row r="349" spans="1:4" x14ac:dyDescent="0.25">
      <c r="A349" s="1"/>
      <c r="B349" s="2"/>
      <c r="C349" s="10"/>
      <c r="D349" s="10"/>
    </row>
    <row r="350" spans="1:4" x14ac:dyDescent="0.25">
      <c r="A350" s="1"/>
      <c r="B350" s="2"/>
      <c r="C350" s="10"/>
      <c r="D350" s="10"/>
    </row>
    <row r="351" spans="1:4" x14ac:dyDescent="0.25">
      <c r="A351" s="1"/>
      <c r="B351" s="2"/>
      <c r="C351" s="10"/>
      <c r="D351" s="10"/>
    </row>
    <row r="352" spans="1:4" x14ac:dyDescent="0.25">
      <c r="A352" s="1"/>
      <c r="B352" s="2"/>
      <c r="C352" s="10"/>
      <c r="D352" s="10"/>
    </row>
    <row r="353" spans="1:4" x14ac:dyDescent="0.25">
      <c r="A353" s="1"/>
      <c r="B353" s="2"/>
      <c r="C353" s="10"/>
      <c r="D353" s="10"/>
    </row>
    <row r="354" spans="1:4" x14ac:dyDescent="0.25">
      <c r="A354" s="2"/>
      <c r="B354" s="2"/>
      <c r="C354" s="10"/>
      <c r="D354" s="10"/>
    </row>
    <row r="355" spans="1:4" x14ac:dyDescent="0.25">
      <c r="A355" s="2"/>
      <c r="B355" s="2"/>
      <c r="C355" s="10"/>
      <c r="D355" s="10"/>
    </row>
    <row r="356" spans="1:4" x14ac:dyDescent="0.25">
      <c r="A356" s="2"/>
      <c r="B356" s="2"/>
      <c r="C356" s="10"/>
      <c r="D356" s="10"/>
    </row>
    <row r="357" spans="1:4" x14ac:dyDescent="0.25">
      <c r="A357" s="50"/>
      <c r="B357" s="50"/>
      <c r="C357" s="51"/>
      <c r="D357" s="51"/>
    </row>
    <row r="358" spans="1:4" x14ac:dyDescent="0.25">
      <c r="A358" s="50"/>
      <c r="B358" s="50"/>
      <c r="C358" s="51"/>
      <c r="D358" s="51"/>
    </row>
    <row r="359" spans="1:4" ht="14.25" thickBot="1" x14ac:dyDescent="0.3">
      <c r="A359" s="3"/>
      <c r="B359" s="3"/>
      <c r="C359" s="11"/>
      <c r="D359" s="11"/>
    </row>
    <row r="360" spans="1:4" ht="14.25" thickBot="1" x14ac:dyDescent="0.3">
      <c r="A360" s="47" t="s">
        <v>22</v>
      </c>
      <c r="B360" s="47">
        <f>SUM(B345:B359)</f>
        <v>0</v>
      </c>
      <c r="C360" s="88" t="s">
        <v>34</v>
      </c>
      <c r="D360" s="48"/>
    </row>
    <row r="361" spans="1:4" ht="14.25" x14ac:dyDescent="0.3">
      <c r="A361" s="49"/>
      <c r="B361" s="49"/>
      <c r="C361" s="49"/>
      <c r="D361" s="49"/>
    </row>
    <row r="362" spans="1:4" x14ac:dyDescent="0.25">
      <c r="A362" s="87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00B1C28-727E-4474-8A56-CAD1D5CB6C3A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45:B359 B3:B17 B41:B55 B60:B74 B79:B93 B98:B112 B117:B131 B136:B150 B155:B169 B174:B188 B193:B207 B212:B226 B231:B245 B250:B264 B269:B283 B288:B302 B307:B321 B326:B340 B22:B36" xr:uid="{1763D475-21AA-4B36-AFC3-1B3431F072F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 B341 B360" xr:uid="{633F51AA-4A66-4F27-B789-F049626251AA}">
      <formula1>0</formula1>
      <formula2>NbPerWeek * NbQuartPer</formula2>
    </dataValidation>
    <dataValidation type="list" allowBlank="1" showInputMessage="1" showErrorMessage="1" sqref="A345:A359 A3:A17 A41:A55 A60:A74 A79:A93 A98:A112 A117:A131 A136:A150 A155:A169 A174:A188 A193:A207 A212:A226 A231:A245 A250:A264 A269:A283 A288:A302 A307:A321 A326:A340 A22:A36" xr:uid="{50D63FBE-B158-455C-B3F9-09D3C65C23E5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Omar Egal Ahmed</dc:creator>
  <cp:lastModifiedBy>Omar Egal Ahmed</cp:lastModifiedBy>
  <cp:lastPrinted>2013-08-29T11:33:15Z</cp:lastPrinted>
  <dcterms:created xsi:type="dcterms:W3CDTF">1996-10-21T11:03:58Z</dcterms:created>
  <dcterms:modified xsi:type="dcterms:W3CDTF">2024-04-19T14:32:27Z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